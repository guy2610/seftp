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ev\Documents\תכנות מערכות דפנסיבי\tirgul\server_tirgul\"/>
    </mc:Choice>
  </mc:AlternateContent>
  <xr:revisionPtr revIDLastSave="0" documentId="13_ncr:1_{DCF40FF0-F418-4338-9B2D-D0CAE3BFD8B0}" xr6:coauthVersionLast="47" xr6:coauthVersionMax="47" xr10:uidLastSave="{00000000-0000-0000-0000-000000000000}"/>
  <bookViews>
    <workbookView xWindow="-120" yWindow="-120" windowWidth="29040" windowHeight="15720" xr2:uid="{57084105-445E-494C-B3E1-8F29170CFE9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M4" i="1"/>
  <c r="G3" i="1"/>
  <c r="H3" i="1" s="1"/>
  <c r="D3" i="1"/>
  <c r="G14" i="1"/>
  <c r="D14" i="1"/>
  <c r="G13" i="1"/>
  <c r="D13" i="1"/>
  <c r="G12" i="1"/>
  <c r="D12" i="1"/>
  <c r="G11" i="1"/>
  <c r="D11" i="1"/>
  <c r="G10" i="1"/>
  <c r="D10" i="1"/>
  <c r="G9" i="1"/>
  <c r="H9" i="1" s="1"/>
  <c r="D9" i="1"/>
  <c r="G8" i="1"/>
  <c r="D8" i="1"/>
  <c r="G7" i="1"/>
  <c r="D7" i="1"/>
  <c r="G6" i="1"/>
  <c r="D6" i="1"/>
  <c r="M7" i="1" s="1"/>
  <c r="G5" i="1"/>
  <c r="D5" i="1"/>
  <c r="M8" i="1" s="1"/>
  <c r="G4" i="1"/>
  <c r="D4" i="1"/>
  <c r="M6" i="1" s="1"/>
  <c r="G2" i="1"/>
  <c r="H2" i="1" s="1"/>
  <c r="D2" i="1"/>
  <c r="H6" i="1" l="1"/>
  <c r="M9" i="1"/>
  <c r="H13" i="1"/>
  <c r="M3" i="1"/>
  <c r="M5" i="1" s="1"/>
  <c r="H5" i="1"/>
  <c r="H4" i="1"/>
  <c r="H10" i="1"/>
  <c r="H12" i="1"/>
  <c r="H14" i="1"/>
  <c r="H11" i="1"/>
  <c r="H7" i="1"/>
  <c r="H8" i="1"/>
  <c r="M12" i="1" l="1"/>
  <c r="M11" i="1"/>
</calcChain>
</file>

<file path=xl/sharedStrings.xml><?xml version="1.0" encoding="utf-8"?>
<sst xmlns="http://schemas.openxmlformats.org/spreadsheetml/2006/main" count="19" uniqueCount="19">
  <si>
    <t>סהכ</t>
  </si>
  <si>
    <t>ממוצע לחודש</t>
  </si>
  <si>
    <t>חציון</t>
  </si>
  <si>
    <t>מינימום</t>
  </si>
  <si>
    <t>מקסימום</t>
  </si>
  <si>
    <t>תאריך חיוב</t>
  </si>
  <si>
    <t xml:space="preserve">לחצי שנה </t>
  </si>
  <si>
    <t>חודשים</t>
  </si>
  <si>
    <t>לשנה</t>
  </si>
  <si>
    <t>סטיית תקן</t>
  </si>
  <si>
    <t>יתרה חודשית</t>
  </si>
  <si>
    <t>הכנסה עיקרית</t>
  </si>
  <si>
    <t>הכנסה משנית(ביט וכו)</t>
  </si>
  <si>
    <t>הכנסה כללית</t>
  </si>
  <si>
    <t>סהכ הוצאות לחודש</t>
  </si>
  <si>
    <t>רק הוצאות</t>
  </si>
  <si>
    <t>חיסכון שנתי</t>
  </si>
  <si>
    <t>סהכ כרטיס מאסטרקרד הוצאות</t>
  </si>
  <si>
    <t>סהכ כרטיס ויזה הוצאות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</si>
</sst>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C0F0-6B8C-4773-9C02-B5A128F81DAA}">
  <dimension ref="A1:T30"/>
  <sheetViews>
    <sheetView rightToLeft="1" tabSelected="1" workbookViewId="0">
      <selection activeCell="A2" sqref="A2"/>
    </sheetView>
  </sheetViews>
  <sheetFormatPr defaultRowHeight="14.25" x14ac:dyDescent="0.2"/>
  <cols>
    <col min="1" max="1" width="21.5" bestFit="1" customWidth="1"/>
    <col min="2" max="2" width="18.375" bestFit="1" customWidth="1"/>
    <col min="3" max="3" width="21.5" bestFit="1" customWidth="1"/>
    <col min="4" max="4" width="14.75" bestFit="1" customWidth="1"/>
    <col min="5" max="5" width="11.25" bestFit="1" customWidth="1"/>
    <col min="6" max="6" width="16.875" bestFit="1" customWidth="1"/>
    <col min="7" max="8" width="10.5" bestFit="1" customWidth="1"/>
    <col min="9" max="9" width="9.875" bestFit="1" customWidth="1"/>
    <col min="10" max="11" width="9.875" customWidth="1"/>
    <col min="12" max="15" width="9.875" bestFit="1" customWidth="1"/>
    <col min="16" max="16" width="9.5" bestFit="1" customWidth="1"/>
    <col min="17" max="17" width="10.5" bestFit="1" customWidth="1"/>
    <col min="18" max="18" width="9.875" style="2" bestFit="1" customWidth="1"/>
    <col min="19" max="19" width="10.5" bestFit="1" customWidth="1"/>
    <col min="20" max="21" width="9.875" bestFit="1" customWidth="1"/>
  </cols>
  <sheetData>
    <row r="1" spans="1:20" x14ac:dyDescent="0.2">
      <c r="A1" t="s">
        <v>5</v>
      </c>
      <c r="B1" t="s">
        <v>17</v>
      </c>
      <c r="C1" t="s">
        <v>18</v>
      </c>
      <c r="D1" t="s">
        <v>14</v>
      </c>
      <c r="E1" t="s">
        <v>11</v>
      </c>
      <c r="F1" t="s">
        <v>12</v>
      </c>
      <c r="G1" t="s">
        <v>13</v>
      </c>
      <c r="H1" t="s">
        <v>10</v>
      </c>
      <c r="I1" s="1" t="s">
        <v>16</v>
      </c>
      <c r="J1" s="1"/>
      <c r="K1" s="1"/>
      <c r="L1" s="1"/>
      <c r="M1" s="1"/>
      <c r="N1" s="1"/>
      <c r="O1" s="1"/>
      <c r="P1" s="1"/>
    </row>
    <row r="2" spans="1:20" x14ac:dyDescent="0.2">
      <c r="A2" s="1">
        <v>44896</v>
      </c>
      <c r="B2" s="2">
        <v>2791.83</v>
      </c>
      <c r="C2" s="2">
        <v>0</v>
      </c>
      <c r="D2" s="2">
        <f t="shared" ref="D2:D14" si="0">SUM(B2:C2)</f>
        <v>2791.83</v>
      </c>
      <c r="E2" s="2">
        <v>13505.9</v>
      </c>
      <c r="F2" s="2">
        <v>375</v>
      </c>
      <c r="G2" s="3">
        <f t="shared" ref="G2:G14" si="1">SUM(E2:F2)</f>
        <v>13880.9</v>
      </c>
      <c r="H2" s="3">
        <f t="shared" ref="H2:H14" si="2">G2-D2</f>
        <v>11089.07</v>
      </c>
      <c r="I2" s="5">
        <f>SUM(H2:H14)</f>
        <v>99456.749999999985</v>
      </c>
      <c r="J2" s="2"/>
      <c r="K2" s="2"/>
      <c r="L2" s="4" t="s">
        <v>15</v>
      </c>
      <c r="M2" s="4"/>
      <c r="N2" s="2"/>
      <c r="O2" s="2"/>
      <c r="P2" s="2"/>
    </row>
    <row r="3" spans="1:20" x14ac:dyDescent="0.2">
      <c r="A3" s="1">
        <v>44927</v>
      </c>
      <c r="B3" s="2">
        <v>2891.27</v>
      </c>
      <c r="C3" s="2">
        <v>0</v>
      </c>
      <c r="D3" s="2">
        <f t="shared" si="0"/>
        <v>2891.27</v>
      </c>
      <c r="E3" s="2">
        <v>13505.13</v>
      </c>
      <c r="F3" s="2">
        <v>455</v>
      </c>
      <c r="G3" s="3">
        <f t="shared" si="1"/>
        <v>13960.13</v>
      </c>
      <c r="H3" s="3">
        <f t="shared" si="2"/>
        <v>11068.859999999999</v>
      </c>
      <c r="I3" s="5"/>
      <c r="J3" s="2"/>
      <c r="K3" s="2"/>
      <c r="L3" t="s">
        <v>0</v>
      </c>
      <c r="M3" s="2">
        <f>SUM(D:D)</f>
        <v>65979.8</v>
      </c>
      <c r="N3" s="2"/>
      <c r="O3" s="2"/>
      <c r="P3" s="2"/>
    </row>
    <row r="4" spans="1:20" x14ac:dyDescent="0.2">
      <c r="A4" s="1">
        <v>44958</v>
      </c>
      <c r="B4" s="2">
        <v>3723.04</v>
      </c>
      <c r="C4" s="2">
        <v>2027.86</v>
      </c>
      <c r="D4" s="2">
        <f t="shared" si="0"/>
        <v>5750.9</v>
      </c>
      <c r="E4" s="2">
        <v>13765.57</v>
      </c>
      <c r="F4" s="2">
        <v>200</v>
      </c>
      <c r="G4" s="3">
        <f t="shared" si="1"/>
        <v>13965.57</v>
      </c>
      <c r="H4" s="3">
        <f t="shared" si="2"/>
        <v>8214.67</v>
      </c>
      <c r="I4" s="5"/>
      <c r="J4" s="2"/>
      <c r="K4" s="2"/>
      <c r="L4" t="s">
        <v>7</v>
      </c>
      <c r="M4" s="2">
        <f>COUNT(A:A)</f>
        <v>29</v>
      </c>
      <c r="N4" s="2"/>
      <c r="O4" s="2"/>
      <c r="P4" s="2"/>
    </row>
    <row r="5" spans="1:20" x14ac:dyDescent="0.2">
      <c r="A5" s="1">
        <v>44986</v>
      </c>
      <c r="B5" s="2">
        <v>3369.67</v>
      </c>
      <c r="C5" s="2">
        <v>7585.64</v>
      </c>
      <c r="D5" s="2">
        <f t="shared" si="0"/>
        <v>10955.310000000001</v>
      </c>
      <c r="E5" s="2">
        <v>13098.38</v>
      </c>
      <c r="F5" s="2">
        <v>1055</v>
      </c>
      <c r="G5" s="3">
        <f t="shared" si="1"/>
        <v>14153.38</v>
      </c>
      <c r="H5" s="3">
        <f t="shared" si="2"/>
        <v>3198.0699999999979</v>
      </c>
      <c r="I5" s="5"/>
      <c r="J5" s="2"/>
      <c r="K5" s="2"/>
      <c r="L5" t="s">
        <v>1</v>
      </c>
      <c r="M5" s="2">
        <f>M3/M4</f>
        <v>2275.1655172413793</v>
      </c>
      <c r="N5" s="2"/>
      <c r="O5" s="2"/>
      <c r="P5" s="2"/>
      <c r="Q5" s="3"/>
    </row>
    <row r="6" spans="1:20" x14ac:dyDescent="0.2">
      <c r="A6" s="1">
        <v>45017</v>
      </c>
      <c r="B6" s="2">
        <v>3588.69</v>
      </c>
      <c r="C6" s="2">
        <v>2297.61</v>
      </c>
      <c r="D6" s="2">
        <f t="shared" si="0"/>
        <v>5886.3</v>
      </c>
      <c r="E6" s="2">
        <v>12585.45</v>
      </c>
      <c r="F6" s="2">
        <v>804</v>
      </c>
      <c r="G6" s="3">
        <f t="shared" si="1"/>
        <v>13389.45</v>
      </c>
      <c r="H6" s="3">
        <f t="shared" si="2"/>
        <v>7503.1500000000005</v>
      </c>
      <c r="I6" s="5"/>
      <c r="J6" s="2"/>
      <c r="K6" s="2"/>
      <c r="L6" t="s">
        <v>2</v>
      </c>
      <c r="M6" s="2">
        <f>MEDIAN(D:D)</f>
        <v>3963.02</v>
      </c>
      <c r="N6" s="2"/>
      <c r="O6" s="2"/>
      <c r="P6" s="2"/>
    </row>
    <row r="7" spans="1:20" x14ac:dyDescent="0.2">
      <c r="A7" s="1">
        <v>45047</v>
      </c>
      <c r="B7" s="2">
        <v>3349.06</v>
      </c>
      <c r="C7" s="2">
        <v>235</v>
      </c>
      <c r="D7" s="2">
        <f t="shared" si="0"/>
        <v>3584.06</v>
      </c>
      <c r="E7" s="2">
        <v>13773.19</v>
      </c>
      <c r="F7" s="2">
        <v>339</v>
      </c>
      <c r="G7" s="3">
        <f t="shared" si="1"/>
        <v>14112.19</v>
      </c>
      <c r="H7" s="3">
        <f t="shared" si="2"/>
        <v>10528.130000000001</v>
      </c>
      <c r="I7" s="5"/>
      <c r="J7" s="3"/>
      <c r="K7" s="3"/>
      <c r="L7" t="s">
        <v>3</v>
      </c>
      <c r="M7" s="3">
        <f>MIN(D:D)</f>
        <v>2326.71</v>
      </c>
      <c r="N7" s="3"/>
      <c r="O7" s="3"/>
      <c r="P7" s="3"/>
    </row>
    <row r="8" spans="1:20" x14ac:dyDescent="0.2">
      <c r="A8" s="1">
        <v>45078</v>
      </c>
      <c r="B8" s="2">
        <v>3338.52</v>
      </c>
      <c r="C8" s="2">
        <v>624.5</v>
      </c>
      <c r="D8" s="2">
        <f t="shared" si="0"/>
        <v>3963.02</v>
      </c>
      <c r="E8" s="2">
        <v>13247.51</v>
      </c>
      <c r="F8" s="2">
        <v>1896</v>
      </c>
      <c r="G8" s="3">
        <f t="shared" si="1"/>
        <v>15143.51</v>
      </c>
      <c r="H8" s="3">
        <f t="shared" si="2"/>
        <v>11180.49</v>
      </c>
      <c r="I8" s="5"/>
      <c r="J8" s="3"/>
      <c r="K8" s="3"/>
      <c r="L8" t="s">
        <v>4</v>
      </c>
      <c r="M8" s="3">
        <f>MAX(D:D)</f>
        <v>12954.060000000001</v>
      </c>
      <c r="N8" s="3"/>
      <c r="O8" s="3"/>
      <c r="P8" s="3"/>
      <c r="Q8" s="3"/>
    </row>
    <row r="9" spans="1:20" x14ac:dyDescent="0.2">
      <c r="A9" s="1">
        <v>45108</v>
      </c>
      <c r="B9" s="2">
        <v>4120.18</v>
      </c>
      <c r="C9" s="2">
        <v>200</v>
      </c>
      <c r="D9" s="2">
        <f t="shared" si="0"/>
        <v>4320.18</v>
      </c>
      <c r="E9" s="2">
        <v>13765.62</v>
      </c>
      <c r="F9" s="2">
        <v>40</v>
      </c>
      <c r="G9" s="3">
        <f t="shared" si="1"/>
        <v>13805.62</v>
      </c>
      <c r="H9" s="3">
        <f t="shared" si="2"/>
        <v>9485.44</v>
      </c>
      <c r="I9" s="5"/>
      <c r="L9" t="s">
        <v>9</v>
      </c>
      <c r="M9">
        <f>_xlfn.STDEV.P(D:D)</f>
        <v>3131.3283493246158</v>
      </c>
    </row>
    <row r="10" spans="1:20" x14ac:dyDescent="0.2">
      <c r="A10" s="1">
        <v>45139</v>
      </c>
      <c r="B10" s="2">
        <v>3034.84</v>
      </c>
      <c r="C10" s="2">
        <v>0</v>
      </c>
      <c r="D10" s="2">
        <f t="shared" si="0"/>
        <v>3034.84</v>
      </c>
      <c r="E10" s="2">
        <v>13764.57</v>
      </c>
      <c r="F10" s="2">
        <v>200</v>
      </c>
      <c r="G10" s="3">
        <f t="shared" si="1"/>
        <v>13964.57</v>
      </c>
      <c r="H10" s="3">
        <f t="shared" si="2"/>
        <v>10929.73</v>
      </c>
      <c r="I10" s="5"/>
    </row>
    <row r="11" spans="1:20" x14ac:dyDescent="0.2">
      <c r="A11" s="1">
        <v>45170</v>
      </c>
      <c r="B11" s="2">
        <v>2691.01</v>
      </c>
      <c r="C11" s="2">
        <v>1576.66</v>
      </c>
      <c r="D11" s="2">
        <f t="shared" si="0"/>
        <v>4267.67</v>
      </c>
      <c r="E11" s="2">
        <v>10749.57</v>
      </c>
      <c r="F11" s="2">
        <v>5451</v>
      </c>
      <c r="G11" s="3">
        <f t="shared" si="1"/>
        <v>16200.57</v>
      </c>
      <c r="H11" s="3">
        <f t="shared" si="2"/>
        <v>11932.9</v>
      </c>
      <c r="I11" s="5"/>
      <c r="L11" t="s">
        <v>6</v>
      </c>
      <c r="M11" s="3">
        <f>M5*12</f>
        <v>27301.986206896552</v>
      </c>
    </row>
    <row r="12" spans="1:20" x14ac:dyDescent="0.2">
      <c r="A12" s="1">
        <v>45200</v>
      </c>
      <c r="B12" s="2">
        <v>3904.27</v>
      </c>
      <c r="C12" s="2">
        <v>9049.7900000000009</v>
      </c>
      <c r="D12" s="2">
        <f t="shared" si="0"/>
        <v>12954.060000000001</v>
      </c>
      <c r="E12" s="2">
        <v>11011.32</v>
      </c>
      <c r="F12" s="2">
        <v>24</v>
      </c>
      <c r="G12" s="3">
        <f t="shared" si="1"/>
        <v>11035.32</v>
      </c>
      <c r="H12" s="3">
        <f t="shared" si="2"/>
        <v>-1918.7400000000016</v>
      </c>
      <c r="I12" s="5"/>
      <c r="L12" t="s">
        <v>8</v>
      </c>
      <c r="M12" s="3">
        <f>M5*6</f>
        <v>13650.993103448276</v>
      </c>
      <c r="T12" s="2"/>
    </row>
    <row r="13" spans="1:20" x14ac:dyDescent="0.2">
      <c r="A13" s="1">
        <v>45231</v>
      </c>
      <c r="B13" s="2">
        <v>2326.71</v>
      </c>
      <c r="C13" s="2">
        <v>0</v>
      </c>
      <c r="D13" s="2">
        <f t="shared" si="0"/>
        <v>2326.71</v>
      </c>
      <c r="E13" s="2">
        <v>9645.34</v>
      </c>
      <c r="F13" s="2">
        <v>1460</v>
      </c>
      <c r="G13" s="3">
        <f t="shared" si="1"/>
        <v>11105.34</v>
      </c>
      <c r="H13" s="3">
        <f t="shared" si="2"/>
        <v>8778.630000000001</v>
      </c>
      <c r="I13" s="5"/>
      <c r="T13" s="2"/>
    </row>
    <row r="14" spans="1:20" x14ac:dyDescent="0.2">
      <c r="A14" s="1">
        <v>45261</v>
      </c>
      <c r="B14" s="2">
        <v>3253.65</v>
      </c>
      <c r="C14" s="2">
        <v>0</v>
      </c>
      <c r="D14" s="2">
        <f t="shared" si="0"/>
        <v>3253.65</v>
      </c>
      <c r="E14" s="2">
        <v>0</v>
      </c>
      <c r="F14" s="2">
        <v>720</v>
      </c>
      <c r="G14" s="3">
        <f t="shared" si="1"/>
        <v>720</v>
      </c>
      <c r="H14" s="3">
        <f t="shared" si="2"/>
        <v>-2533.65</v>
      </c>
      <c r="I14" s="5"/>
      <c r="T14" s="2"/>
    </row>
    <row r="15" spans="1:20" x14ac:dyDescent="0.2">
      <c r="A15" s="1">
        <v>45292</v>
      </c>
      <c r="T15" s="2"/>
    </row>
    <row r="16" spans="1:20" x14ac:dyDescent="0.2">
      <c r="A16" s="1">
        <v>45323</v>
      </c>
      <c r="T16" s="2"/>
    </row>
    <row r="17" spans="1:20" x14ac:dyDescent="0.2">
      <c r="A17" s="1">
        <v>45352</v>
      </c>
      <c r="T17" s="2"/>
    </row>
    <row r="18" spans="1:20" x14ac:dyDescent="0.2">
      <c r="A18" s="1">
        <v>45383</v>
      </c>
      <c r="T18" s="2"/>
    </row>
    <row r="19" spans="1:20" x14ac:dyDescent="0.2">
      <c r="A19" s="1">
        <v>45413</v>
      </c>
      <c r="T19" s="2"/>
    </row>
    <row r="20" spans="1:20" x14ac:dyDescent="0.2">
      <c r="A20" s="1">
        <v>45444</v>
      </c>
      <c r="T20" s="3"/>
    </row>
    <row r="21" spans="1:20" x14ac:dyDescent="0.2">
      <c r="A21" s="1">
        <v>45474</v>
      </c>
      <c r="T21" s="3"/>
    </row>
    <row r="22" spans="1:20" x14ac:dyDescent="0.2">
      <c r="A22" s="1">
        <v>45505</v>
      </c>
    </row>
    <row r="23" spans="1:20" x14ac:dyDescent="0.2">
      <c r="A23" s="1">
        <v>45536</v>
      </c>
    </row>
    <row r="24" spans="1:20" x14ac:dyDescent="0.2">
      <c r="A24" s="1">
        <v>45566</v>
      </c>
    </row>
    <row r="25" spans="1:20" x14ac:dyDescent="0.2">
      <c r="A25" s="1">
        <v>45597</v>
      </c>
    </row>
    <row r="26" spans="1:20" x14ac:dyDescent="0.2">
      <c r="A26" s="1">
        <v>45627</v>
      </c>
    </row>
    <row r="27" spans="1:20" x14ac:dyDescent="0.2">
      <c r="A27" s="1">
        <v>45658</v>
      </c>
    </row>
    <row r="28" spans="1:20" x14ac:dyDescent="0.2">
      <c r="A28" s="1">
        <v>45689</v>
      </c>
    </row>
    <row r="29" spans="1:20" x14ac:dyDescent="0.2">
      <c r="A29" s="1">
        <v>45717</v>
      </c>
    </row>
    <row r="30" spans="1:20" x14ac:dyDescent="0.2">
      <c r="A30" s="1">
        <v>45748</v>
      </c>
    </row>
  </sheetData>
  <mergeCells count="2">
    <mergeCell ref="L2:M2"/>
    <mergeCell ref="I2:I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Evan</dc:creator>
  <cp:lastModifiedBy>Guy Evan</cp:lastModifiedBy>
  <dcterms:created xsi:type="dcterms:W3CDTF">2023-12-16T14:48:59Z</dcterms:created>
  <dcterms:modified xsi:type="dcterms:W3CDTF">2025-11-26T11:42:13Z</dcterms:modified>
</cp:coreProperties>
</file>